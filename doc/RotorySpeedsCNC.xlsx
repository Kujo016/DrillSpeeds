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ckleBench\DrillSpeeds - v0.1\docs\"/>
    </mc:Choice>
  </mc:AlternateContent>
  <xr:revisionPtr revIDLastSave="0" documentId="13_ncr:1_{256961D5-ECBC-4640-8FEC-52F2F9E75B23}" xr6:coauthVersionLast="47" xr6:coauthVersionMax="47" xr10:uidLastSave="{00000000-0000-0000-0000-000000000000}"/>
  <bookViews>
    <workbookView xWindow="-120" yWindow="-120" windowWidth="29040" windowHeight="17520" activeTab="1" xr2:uid="{21E5906A-433D-4261-8940-BC40AC9F76EB}"/>
  </bookViews>
  <sheets>
    <sheet name="Math" sheetId="1" r:id="rId1"/>
    <sheet name="Tables" sheetId="2" r:id="rId2"/>
    <sheet name="Ma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1" i="1"/>
  <c r="B10" i="1"/>
  <c r="C9" i="3"/>
  <c r="C6" i="3"/>
  <c r="B22" i="1" s="1"/>
  <c r="C3" i="3"/>
  <c r="N16" i="1"/>
  <c r="N15" i="1"/>
  <c r="N10" i="1"/>
  <c r="N9" i="1"/>
  <c r="J16" i="1"/>
  <c r="J15" i="1"/>
  <c r="J10" i="1"/>
  <c r="J9" i="1"/>
  <c r="F16" i="1"/>
  <c r="F15" i="1"/>
  <c r="B16" i="1"/>
  <c r="B15" i="1"/>
  <c r="F10" i="1"/>
  <c r="F9" i="1"/>
  <c r="O3" i="1"/>
  <c r="K3" i="1"/>
  <c r="G3" i="1"/>
  <c r="C3" i="1"/>
  <c r="F22" i="1" l="1"/>
  <c r="J22" i="1"/>
  <c r="N11" i="1"/>
  <c r="N12" i="1" s="1"/>
  <c r="N22" i="1" l="1"/>
  <c r="J17" i="1"/>
  <c r="J18" i="1" s="1"/>
  <c r="J11" i="1"/>
  <c r="J12" i="1" s="1"/>
  <c r="F17" i="1"/>
  <c r="F18" i="1" s="1"/>
  <c r="B17" i="1"/>
  <c r="B18" i="1" s="1"/>
  <c r="F11" i="1"/>
  <c r="F12" i="1" s="1"/>
  <c r="B12" i="1"/>
  <c r="B13" i="3" s="1"/>
  <c r="N17" i="1"/>
  <c r="N18" i="1" s="1"/>
  <c r="B11" i="3" l="1"/>
  <c r="J21" i="1" s="1"/>
  <c r="J23" i="1" s="1"/>
  <c r="F21" i="1" l="1"/>
  <c r="F23" i="1" s="1"/>
  <c r="B21" i="1"/>
  <c r="B23" i="1" s="1"/>
  <c r="B12" i="3" s="1"/>
  <c r="N21" i="1"/>
  <c r="N23" i="1" s="1"/>
</calcChain>
</file>

<file path=xl/sharedStrings.xml><?xml version="1.0" encoding="utf-8"?>
<sst xmlns="http://schemas.openxmlformats.org/spreadsheetml/2006/main" count="175" uniqueCount="84">
  <si>
    <t>RPM_0</t>
  </si>
  <si>
    <t>D_0</t>
  </si>
  <si>
    <t>P_0</t>
  </si>
  <si>
    <t>H_0</t>
  </si>
  <si>
    <t>V_0</t>
  </si>
  <si>
    <t>D_Bit_Diameter_mm</t>
  </si>
  <si>
    <t>RPM</t>
  </si>
  <si>
    <t>Horizontal_Speed</t>
  </si>
  <si>
    <t>Vertical_Speed</t>
  </si>
  <si>
    <t>Softwood</t>
  </si>
  <si>
    <t>Hardwood</t>
  </si>
  <si>
    <t>WOOD AVERGAE DENSITIES</t>
  </si>
  <si>
    <t>Cedar, Western Red</t>
  </si>
  <si>
    <t>Cedar, Yellow</t>
  </si>
  <si>
    <t>Hemlock, Western</t>
  </si>
  <si>
    <t>Fir, Douglas</t>
  </si>
  <si>
    <t>Fir, Silver</t>
  </si>
  <si>
    <t>Pine, Ponderosa</t>
  </si>
  <si>
    <t>Pine, Sugar</t>
  </si>
  <si>
    <t>Pine, Western White</t>
  </si>
  <si>
    <t>Pine, White</t>
  </si>
  <si>
    <t>Alder, Red</t>
  </si>
  <si>
    <t>Ash, White</t>
  </si>
  <si>
    <t>Balsa</t>
  </si>
  <si>
    <t>Basswood</t>
  </si>
  <si>
    <t>Beech</t>
  </si>
  <si>
    <t>Birch, Paper</t>
  </si>
  <si>
    <t>Birch, Yellow</t>
  </si>
  <si>
    <t>Cherry, Black</t>
  </si>
  <si>
    <t>Chestnut</t>
  </si>
  <si>
    <t>Elm, White</t>
  </si>
  <si>
    <t>Hickory</t>
  </si>
  <si>
    <t>Maple, Hard</t>
  </si>
  <si>
    <t>Maple, Soft</t>
  </si>
  <si>
    <t>Oak, Red</t>
  </si>
  <si>
    <t>Oak, White</t>
  </si>
  <si>
    <t>Teak</t>
  </si>
  <si>
    <t>Yellow-Poplar</t>
  </si>
  <si>
    <t>Walnut, Black</t>
  </si>
  <si>
    <t>KG</t>
  </si>
  <si>
    <t>Density</t>
  </si>
  <si>
    <t>Red Oak</t>
  </si>
  <si>
    <t>RPM_0 * (D_0/D)^a * (p_0/p)^b</t>
  </si>
  <si>
    <t>a</t>
  </si>
  <si>
    <t>b</t>
  </si>
  <si>
    <t>c</t>
  </si>
  <si>
    <t>d</t>
  </si>
  <si>
    <t>(p_0/p)^b</t>
  </si>
  <si>
    <t>Horizontal</t>
  </si>
  <si>
    <t>(D_0/D)^a</t>
  </si>
  <si>
    <t>(D/D_0)^c</t>
  </si>
  <si>
    <t>(p_0/p)^d</t>
  </si>
  <si>
    <t>H_0 * (D/D_0)^c * (p_0/p)^d</t>
  </si>
  <si>
    <t>Vertical</t>
  </si>
  <si>
    <t>H</t>
  </si>
  <si>
    <t>P</t>
  </si>
  <si>
    <t>H*P</t>
  </si>
  <si>
    <t>Wood</t>
  </si>
  <si>
    <t>Polycarbonate</t>
  </si>
  <si>
    <t>0.18-0.25</t>
  </si>
  <si>
    <t>0.10-0.16</t>
  </si>
  <si>
    <t>Aluminum</t>
  </si>
  <si>
    <t>0.05-0.1</t>
  </si>
  <si>
    <t>Brass</t>
  </si>
  <si>
    <t>0.04-0.08</t>
  </si>
  <si>
    <t>Material</t>
  </si>
  <si>
    <t>kg/m^3</t>
  </si>
  <si>
    <t>Density_g/cm^3</t>
  </si>
  <si>
    <t>M</t>
  </si>
  <si>
    <t>L</t>
  </si>
  <si>
    <t>EL</t>
  </si>
  <si>
    <t>MH</t>
  </si>
  <si>
    <t>ML</t>
  </si>
  <si>
    <t>EH</t>
  </si>
  <si>
    <t>Average_kg/m^3</t>
  </si>
  <si>
    <t>Sample_kg/m^3</t>
  </si>
  <si>
    <t>Calculated</t>
  </si>
  <si>
    <t>Plunge Ratio Level</t>
  </si>
  <si>
    <t>Sample_Type</t>
  </si>
  <si>
    <t>p</t>
  </si>
  <si>
    <t>D_Bit_Diameter</t>
  </si>
  <si>
    <t>mm</t>
  </si>
  <si>
    <t>Sample (Enter Calculated)</t>
  </si>
  <si>
    <t>Average (Wood Materials)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</si>
</sst>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8434-0CA1-4C47-A273-4515B955D28D}">
  <dimension ref="A1:O23"/>
  <sheetViews>
    <sheetView workbookViewId="0">
      <selection activeCell="B22" sqref="B22"/>
    </sheetView>
  </sheetViews>
  <sheetFormatPr defaultRowHeight="15" x14ac:dyDescent="0.25"/>
  <cols>
    <col min="1" max="1" width="28.42578125" bestFit="1" customWidth="1"/>
    <col min="2" max="2" width="8.85546875" bestFit="1" customWidth="1"/>
    <col min="3" max="3" width="13.85546875" bestFit="1" customWidth="1"/>
    <col min="4" max="4" width="10.140625" bestFit="1" customWidth="1"/>
    <col min="5" max="5" width="18.85546875" bestFit="1" customWidth="1"/>
    <col min="6" max="6" width="13.85546875" bestFit="1" customWidth="1"/>
    <col min="7" max="7" width="6" bestFit="1" customWidth="1"/>
    <col min="9" max="9" width="18.85546875" bestFit="1" customWidth="1"/>
    <col min="10" max="10" width="10.140625" bestFit="1" customWidth="1"/>
    <col min="11" max="11" width="6" bestFit="1" customWidth="1"/>
    <col min="13" max="13" width="18.85546875" bestFit="1" customWidth="1"/>
    <col min="14" max="14" width="6.7109375" bestFit="1" customWidth="1"/>
    <col min="15" max="15" width="5" bestFit="1" customWidth="1"/>
  </cols>
  <sheetData>
    <row r="1" spans="1:15" x14ac:dyDescent="0.25">
      <c r="A1" t="s">
        <v>5</v>
      </c>
      <c r="B1" t="s">
        <v>1</v>
      </c>
      <c r="C1">
        <v>1.5</v>
      </c>
      <c r="E1" t="s">
        <v>5</v>
      </c>
      <c r="F1" t="s">
        <v>1</v>
      </c>
      <c r="G1">
        <v>1.5</v>
      </c>
      <c r="I1" t="s">
        <v>5</v>
      </c>
      <c r="J1" t="s">
        <v>1</v>
      </c>
      <c r="K1">
        <v>1.5</v>
      </c>
      <c r="M1" t="s">
        <v>5</v>
      </c>
      <c r="N1" t="s">
        <v>1</v>
      </c>
      <c r="O1">
        <v>1.5</v>
      </c>
    </row>
    <row r="2" spans="1:15" x14ac:dyDescent="0.25">
      <c r="A2" t="s">
        <v>66</v>
      </c>
      <c r="B2" t="s">
        <v>41</v>
      </c>
      <c r="C2">
        <v>790</v>
      </c>
      <c r="E2" t="s">
        <v>66</v>
      </c>
      <c r="F2" t="s">
        <v>58</v>
      </c>
      <c r="G2">
        <v>1200</v>
      </c>
      <c r="I2" t="s">
        <v>66</v>
      </c>
      <c r="J2" t="s">
        <v>61</v>
      </c>
      <c r="K2">
        <v>2700</v>
      </c>
      <c r="M2" t="s">
        <v>66</v>
      </c>
      <c r="N2" t="s">
        <v>63</v>
      </c>
      <c r="O2">
        <v>8500</v>
      </c>
    </row>
    <row r="3" spans="1:15" x14ac:dyDescent="0.25">
      <c r="A3" t="s">
        <v>67</v>
      </c>
      <c r="B3" t="s">
        <v>2</v>
      </c>
      <c r="C3">
        <f>C2/1000</f>
        <v>0.79</v>
      </c>
      <c r="E3" t="s">
        <v>67</v>
      </c>
      <c r="F3" t="s">
        <v>2</v>
      </c>
      <c r="G3">
        <f>G2/1000</f>
        <v>1.2</v>
      </c>
      <c r="I3" t="s">
        <v>67</v>
      </c>
      <c r="J3" t="s">
        <v>2</v>
      </c>
      <c r="K3">
        <f>K2/1000</f>
        <v>2.7</v>
      </c>
      <c r="M3" t="s">
        <v>67</v>
      </c>
      <c r="N3" t="s">
        <v>2</v>
      </c>
      <c r="O3">
        <f>O2/1000</f>
        <v>8.5</v>
      </c>
    </row>
    <row r="4" spans="1:15" x14ac:dyDescent="0.25">
      <c r="A4" t="s">
        <v>6</v>
      </c>
      <c r="B4" t="s">
        <v>0</v>
      </c>
      <c r="C4">
        <v>20000</v>
      </c>
      <c r="E4" t="s">
        <v>6</v>
      </c>
      <c r="F4" t="s">
        <v>0</v>
      </c>
      <c r="G4">
        <v>13000</v>
      </c>
      <c r="I4" t="s">
        <v>6</v>
      </c>
      <c r="J4" t="s">
        <v>0</v>
      </c>
      <c r="K4">
        <v>10000</v>
      </c>
      <c r="M4" t="s">
        <v>6</v>
      </c>
      <c r="N4" t="s">
        <v>0</v>
      </c>
      <c r="O4">
        <v>9000</v>
      </c>
    </row>
    <row r="5" spans="1:15" x14ac:dyDescent="0.25">
      <c r="A5" t="s">
        <v>7</v>
      </c>
      <c r="B5" t="s">
        <v>3</v>
      </c>
      <c r="C5">
        <v>15</v>
      </c>
      <c r="E5" t="s">
        <v>7</v>
      </c>
      <c r="F5" t="s">
        <v>3</v>
      </c>
      <c r="G5">
        <v>7</v>
      </c>
      <c r="I5" t="s">
        <v>7</v>
      </c>
      <c r="J5" t="s">
        <v>3</v>
      </c>
      <c r="K5">
        <v>3</v>
      </c>
      <c r="M5" t="s">
        <v>7</v>
      </c>
      <c r="N5" t="s">
        <v>3</v>
      </c>
      <c r="O5">
        <v>2.5</v>
      </c>
    </row>
    <row r="6" spans="1:15" x14ac:dyDescent="0.25">
      <c r="A6" t="s">
        <v>8</v>
      </c>
      <c r="B6" t="s">
        <v>4</v>
      </c>
      <c r="C6">
        <v>3</v>
      </c>
      <c r="E6" t="s">
        <v>8</v>
      </c>
      <c r="F6" t="s">
        <v>4</v>
      </c>
      <c r="G6">
        <v>0.84</v>
      </c>
      <c r="I6" t="s">
        <v>8</v>
      </c>
      <c r="J6" t="s">
        <v>4</v>
      </c>
      <c r="K6">
        <v>0.21</v>
      </c>
      <c r="M6" t="s">
        <v>8</v>
      </c>
      <c r="N6" t="s">
        <v>4</v>
      </c>
      <c r="O6">
        <v>0.15</v>
      </c>
    </row>
    <row r="8" spans="1:15" x14ac:dyDescent="0.25">
      <c r="A8" t="s">
        <v>6</v>
      </c>
      <c r="E8" t="s">
        <v>6</v>
      </c>
      <c r="I8" t="s">
        <v>6</v>
      </c>
      <c r="M8" t="s">
        <v>6</v>
      </c>
    </row>
    <row r="9" spans="1:15" x14ac:dyDescent="0.25">
      <c r="A9" t="s">
        <v>0</v>
      </c>
      <c r="B9">
        <f>C4</f>
        <v>20000</v>
      </c>
      <c r="E9" t="s">
        <v>0</v>
      </c>
      <c r="F9">
        <f>G4</f>
        <v>13000</v>
      </c>
      <c r="I9" t="s">
        <v>0</v>
      </c>
      <c r="J9">
        <f>K4</f>
        <v>10000</v>
      </c>
      <c r="M9" t="s">
        <v>0</v>
      </c>
      <c r="N9">
        <f>O4</f>
        <v>9000</v>
      </c>
    </row>
    <row r="10" spans="1:15" x14ac:dyDescent="0.25">
      <c r="A10" t="s">
        <v>49</v>
      </c>
      <c r="B10">
        <f>(C1/Main!$C$1)^Tables!H4</f>
        <v>1.1524761342185503</v>
      </c>
      <c r="E10" t="s">
        <v>49</v>
      </c>
      <c r="F10">
        <f>(G1/Main!$C$1)^Tables!I4</f>
        <v>1.200165301609877</v>
      </c>
      <c r="I10" t="s">
        <v>49</v>
      </c>
      <c r="J10">
        <f>(K1/Main!$C$1)^Tables!J4</f>
        <v>1.5</v>
      </c>
      <c r="M10" t="s">
        <v>49</v>
      </c>
      <c r="N10">
        <f>(O1/Main!$C$1)^Tables!K4</f>
        <v>1.5</v>
      </c>
    </row>
    <row r="11" spans="1:15" x14ac:dyDescent="0.25">
      <c r="A11" t="s">
        <v>47</v>
      </c>
      <c r="B11">
        <f>(C3/Main!$C$9)^Tables!H5</f>
        <v>1.1160316836361517</v>
      </c>
      <c r="E11" t="s">
        <v>47</v>
      </c>
      <c r="F11">
        <f>(G3/Main!$C$9)^Tables!I5</f>
        <v>1.0591802704146978</v>
      </c>
      <c r="I11" t="s">
        <v>47</v>
      </c>
      <c r="J11">
        <f>(K3/Main!$C$9)^Tables!J5</f>
        <v>1.1030088788462702</v>
      </c>
      <c r="M11" t="s">
        <v>47</v>
      </c>
      <c r="N11">
        <f>(O3/Main!$C$9)^Tables!K5</f>
        <v>1.1681046867868274</v>
      </c>
    </row>
    <row r="12" spans="1:15" x14ac:dyDescent="0.25">
      <c r="A12" t="s">
        <v>42</v>
      </c>
      <c r="B12">
        <f>B9*B10*B11</f>
        <v>25723.997608448248</v>
      </c>
      <c r="E12" t="s">
        <v>42</v>
      </c>
      <c r="F12">
        <f>F9*F10*F11</f>
        <v>16525.488313119327</v>
      </c>
      <c r="I12" t="s">
        <v>42</v>
      </c>
      <c r="J12">
        <f>J9*J10*J11</f>
        <v>16545.133182694051</v>
      </c>
      <c r="M12" t="s">
        <v>42</v>
      </c>
      <c r="N12">
        <f>N9*N10*N11</f>
        <v>15769.41327162217</v>
      </c>
    </row>
    <row r="14" spans="1:15" x14ac:dyDescent="0.25">
      <c r="A14" t="s">
        <v>48</v>
      </c>
      <c r="E14" t="s">
        <v>48</v>
      </c>
      <c r="I14" t="s">
        <v>48</v>
      </c>
      <c r="M14" t="s">
        <v>48</v>
      </c>
    </row>
    <row r="15" spans="1:15" x14ac:dyDescent="0.25">
      <c r="A15" t="s">
        <v>3</v>
      </c>
      <c r="B15">
        <f>C5</f>
        <v>15</v>
      </c>
      <c r="E15" t="s">
        <v>3</v>
      </c>
      <c r="F15">
        <f>G5</f>
        <v>7</v>
      </c>
      <c r="I15" t="s">
        <v>3</v>
      </c>
      <c r="J15">
        <f>K5</f>
        <v>3</v>
      </c>
      <c r="M15" t="s">
        <v>3</v>
      </c>
      <c r="N15">
        <f>O5</f>
        <v>2.5</v>
      </c>
    </row>
    <row r="16" spans="1:15" x14ac:dyDescent="0.25">
      <c r="A16" t="s">
        <v>50</v>
      </c>
      <c r="B16">
        <f>(Main!$C$1/C1)^Tables!H6</f>
        <v>0.70847157410453521</v>
      </c>
      <c r="E16" t="s">
        <v>50</v>
      </c>
      <c r="F16">
        <f>(Main!$C$1/G1)^Tables!I6</f>
        <v>0.76831742281236692</v>
      </c>
      <c r="I16" t="s">
        <v>50</v>
      </c>
      <c r="J16">
        <f>(Main!$C$1/K1)^Tables!J6</f>
        <v>0.75289795697123696</v>
      </c>
      <c r="M16" t="s">
        <v>50</v>
      </c>
      <c r="N16">
        <f>(Main!$C$1/O1)^Tables!K6</f>
        <v>0.76831742281236692</v>
      </c>
    </row>
    <row r="17" spans="1:14" x14ac:dyDescent="0.25">
      <c r="A17" t="s">
        <v>51</v>
      </c>
      <c r="B17">
        <f>(C3/Main!$C$9)^Tables!H7</f>
        <v>1.6691310888062743</v>
      </c>
      <c r="E17" t="s">
        <v>51</v>
      </c>
      <c r="F17">
        <f>(G3/Main!$C$9)^Tables!I7</f>
        <v>1.258576243520457</v>
      </c>
      <c r="I17" t="s">
        <v>51</v>
      </c>
      <c r="J17">
        <f>(K3/Main!$C$9)^Tables!J7</f>
        <v>1.3419521335137075</v>
      </c>
      <c r="M17" t="s">
        <v>51</v>
      </c>
      <c r="N17">
        <f>(O3/Main!$C$9)^Tables!K7</f>
        <v>1.3644685592933523</v>
      </c>
    </row>
    <row r="18" spans="1:14" x14ac:dyDescent="0.25">
      <c r="A18" t="s">
        <v>52</v>
      </c>
      <c r="B18">
        <f>B15*B16*B17</f>
        <v>17.737978948100967</v>
      </c>
      <c r="E18" t="s">
        <v>52</v>
      </c>
      <c r="F18">
        <f>F15*F16*F17</f>
        <v>6.7689023908415518</v>
      </c>
      <c r="I18" t="s">
        <v>52</v>
      </c>
      <c r="J18">
        <f>J15*J16*J17</f>
        <v>3.031059059026989</v>
      </c>
      <c r="M18" t="s">
        <v>52</v>
      </c>
      <c r="N18">
        <f>N15*N16*N17</f>
        <v>2.6208624174619293</v>
      </c>
    </row>
    <row r="20" spans="1:14" x14ac:dyDescent="0.25">
      <c r="A20" t="s">
        <v>53</v>
      </c>
      <c r="E20" t="s">
        <v>53</v>
      </c>
      <c r="I20" t="s">
        <v>53</v>
      </c>
      <c r="M20" t="s">
        <v>53</v>
      </c>
    </row>
    <row r="21" spans="1:14" x14ac:dyDescent="0.25">
      <c r="A21" t="s">
        <v>54</v>
      </c>
      <c r="B21">
        <f>Main!$B$11</f>
        <v>17.737978948100967</v>
      </c>
      <c r="E21" t="s">
        <v>54</v>
      </c>
      <c r="F21">
        <f>Main!$B$11</f>
        <v>17.737978948100967</v>
      </c>
      <c r="I21" t="s">
        <v>54</v>
      </c>
      <c r="J21">
        <f>Main!$B$11</f>
        <v>17.737978948100967</v>
      </c>
      <c r="M21" t="s">
        <v>54</v>
      </c>
      <c r="N21">
        <f>Main!$B$11</f>
        <v>17.737978948100967</v>
      </c>
    </row>
    <row r="22" spans="1:14" x14ac:dyDescent="0.25">
      <c r="A22" t="s">
        <v>55</v>
      </c>
      <c r="B22">
        <f>Main!$C$6</f>
        <v>0.23</v>
      </c>
      <c r="E22" t="s">
        <v>55</v>
      </c>
      <c r="F22">
        <f>Main!$D$8</f>
        <v>0</v>
      </c>
      <c r="I22" t="s">
        <v>55</v>
      </c>
      <c r="J22">
        <f>Main!$D$8</f>
        <v>0</v>
      </c>
      <c r="M22" t="s">
        <v>55</v>
      </c>
      <c r="N22">
        <f>Main!$D$8</f>
        <v>0</v>
      </c>
    </row>
    <row r="23" spans="1:14" x14ac:dyDescent="0.25">
      <c r="A23" t="s">
        <v>56</v>
      </c>
      <c r="B23">
        <f>B21*B22</f>
        <v>4.0797351580632224</v>
      </c>
      <c r="E23" t="s">
        <v>56</v>
      </c>
      <c r="F23">
        <f>F21*F22</f>
        <v>0</v>
      </c>
      <c r="I23" t="s">
        <v>56</v>
      </c>
      <c r="J23">
        <f>J21*J22</f>
        <v>0</v>
      </c>
      <c r="M23" t="s">
        <v>56</v>
      </c>
      <c r="N23">
        <f>N21*N22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DEED-25E2-4BA3-8333-2D618B83DF91}">
  <dimension ref="A3:N30"/>
  <sheetViews>
    <sheetView tabSelected="1" workbookViewId="0">
      <selection activeCell="R20" sqref="R20"/>
    </sheetView>
  </sheetViews>
  <sheetFormatPr defaultRowHeight="15" x14ac:dyDescent="0.25"/>
  <cols>
    <col min="2" max="2" width="24.85546875" bestFit="1" customWidth="1"/>
    <col min="4" max="4" width="7.42578125" bestFit="1" customWidth="1"/>
    <col min="7" max="7" width="3.85546875" bestFit="1" customWidth="1"/>
    <col min="8" max="8" width="8.85546875" bestFit="1" customWidth="1"/>
    <col min="9" max="9" width="13.85546875" bestFit="1" customWidth="1"/>
    <col min="10" max="10" width="10.140625" bestFit="1" customWidth="1"/>
    <col min="11" max="11" width="8.85546875" bestFit="1" customWidth="1"/>
  </cols>
  <sheetData>
    <row r="3" spans="1:14" x14ac:dyDescent="0.25">
      <c r="B3" t="s">
        <v>11</v>
      </c>
      <c r="C3" t="s">
        <v>39</v>
      </c>
      <c r="D3" t="s">
        <v>40</v>
      </c>
      <c r="H3" t="s">
        <v>57</v>
      </c>
      <c r="I3" t="s">
        <v>58</v>
      </c>
      <c r="J3" t="s">
        <v>61</v>
      </c>
      <c r="K3" t="s">
        <v>63</v>
      </c>
      <c r="N3" t="s">
        <v>82</v>
      </c>
    </row>
    <row r="4" spans="1:14" x14ac:dyDescent="0.25">
      <c r="A4" t="s">
        <v>9</v>
      </c>
      <c r="B4" t="s">
        <v>12</v>
      </c>
      <c r="C4">
        <v>370</v>
      </c>
      <c r="D4">
        <v>0.37</v>
      </c>
      <c r="G4" t="s">
        <v>43</v>
      </c>
      <c r="H4">
        <v>0.35</v>
      </c>
      <c r="I4">
        <v>0.45</v>
      </c>
      <c r="J4">
        <v>1</v>
      </c>
      <c r="K4">
        <v>1</v>
      </c>
      <c r="N4" t="s">
        <v>83</v>
      </c>
    </row>
    <row r="5" spans="1:14" x14ac:dyDescent="0.25">
      <c r="B5" t="s">
        <v>13</v>
      </c>
      <c r="C5">
        <v>500</v>
      </c>
      <c r="D5">
        <v>0.5</v>
      </c>
      <c r="G5" t="s">
        <v>44</v>
      </c>
      <c r="H5">
        <v>0.15</v>
      </c>
      <c r="I5">
        <v>0.05</v>
      </c>
      <c r="J5">
        <v>0.05</v>
      </c>
      <c r="K5">
        <v>0.05</v>
      </c>
    </row>
    <row r="6" spans="1:14" x14ac:dyDescent="0.25">
      <c r="B6" t="s">
        <v>14</v>
      </c>
      <c r="C6">
        <v>500</v>
      </c>
      <c r="D6">
        <v>0.5</v>
      </c>
      <c r="G6" t="s">
        <v>45</v>
      </c>
      <c r="H6">
        <v>0.85</v>
      </c>
      <c r="I6">
        <v>0.65</v>
      </c>
      <c r="J6">
        <v>0.7</v>
      </c>
      <c r="K6">
        <v>0.65</v>
      </c>
    </row>
    <row r="7" spans="1:14" x14ac:dyDescent="0.25">
      <c r="B7" t="s">
        <v>15</v>
      </c>
      <c r="C7">
        <v>530</v>
      </c>
      <c r="D7">
        <v>0.53</v>
      </c>
      <c r="G7" t="s">
        <v>46</v>
      </c>
      <c r="H7">
        <v>0.7</v>
      </c>
      <c r="I7">
        <v>0.2</v>
      </c>
      <c r="J7">
        <v>0.15</v>
      </c>
      <c r="K7">
        <v>0.1</v>
      </c>
    </row>
    <row r="8" spans="1:14" x14ac:dyDescent="0.25">
      <c r="B8" t="s">
        <v>16</v>
      </c>
      <c r="C8">
        <v>480</v>
      </c>
      <c r="D8">
        <v>0.48</v>
      </c>
      <c r="G8" t="s">
        <v>55</v>
      </c>
      <c r="H8" t="s">
        <v>59</v>
      </c>
      <c r="I8" t="s">
        <v>60</v>
      </c>
      <c r="J8" t="s">
        <v>62</v>
      </c>
      <c r="K8" t="s">
        <v>64</v>
      </c>
    </row>
    <row r="9" spans="1:14" x14ac:dyDescent="0.25">
      <c r="B9" t="s">
        <v>17</v>
      </c>
      <c r="C9">
        <v>480</v>
      </c>
      <c r="D9">
        <v>0.48</v>
      </c>
      <c r="G9" t="s">
        <v>73</v>
      </c>
      <c r="H9">
        <v>0.19</v>
      </c>
      <c r="I9">
        <v>0.1</v>
      </c>
      <c r="J9">
        <v>0.05</v>
      </c>
      <c r="K9">
        <v>0.04</v>
      </c>
    </row>
    <row r="10" spans="1:14" x14ac:dyDescent="0.25">
      <c r="B10" t="s">
        <v>18</v>
      </c>
      <c r="C10">
        <v>420</v>
      </c>
      <c r="D10">
        <v>0.42</v>
      </c>
      <c r="G10" t="s">
        <v>54</v>
      </c>
      <c r="H10">
        <v>0.2</v>
      </c>
      <c r="I10">
        <v>0.11</v>
      </c>
      <c r="J10">
        <v>0.06</v>
      </c>
      <c r="K10">
        <v>0.05</v>
      </c>
    </row>
    <row r="11" spans="1:14" x14ac:dyDescent="0.25">
      <c r="B11" t="s">
        <v>19</v>
      </c>
      <c r="C11">
        <v>450</v>
      </c>
      <c r="D11">
        <v>0.45</v>
      </c>
      <c r="G11" t="s">
        <v>71</v>
      </c>
      <c r="H11">
        <v>0.21</v>
      </c>
      <c r="I11">
        <v>0.12</v>
      </c>
      <c r="J11">
        <v>7.0000000000000007E-2</v>
      </c>
      <c r="K11">
        <v>0.06</v>
      </c>
    </row>
    <row r="12" spans="1:14" x14ac:dyDescent="0.25">
      <c r="B12" t="s">
        <v>20</v>
      </c>
      <c r="C12">
        <v>420</v>
      </c>
      <c r="D12">
        <v>0.42</v>
      </c>
      <c r="G12" t="s">
        <v>68</v>
      </c>
      <c r="H12">
        <v>0.22</v>
      </c>
      <c r="I12">
        <v>0.13</v>
      </c>
      <c r="J12">
        <v>0.08</v>
      </c>
      <c r="K12">
        <v>7.0000000000000007E-2</v>
      </c>
    </row>
    <row r="13" spans="1:14" x14ac:dyDescent="0.25">
      <c r="A13" t="s">
        <v>10</v>
      </c>
      <c r="B13" t="s">
        <v>21</v>
      </c>
      <c r="C13">
        <v>530</v>
      </c>
      <c r="D13">
        <v>0.53</v>
      </c>
      <c r="G13" t="s">
        <v>72</v>
      </c>
      <c r="H13">
        <v>0.23</v>
      </c>
      <c r="I13">
        <v>0.14000000000000001</v>
      </c>
      <c r="J13">
        <v>0.09</v>
      </c>
      <c r="K13">
        <v>0.08</v>
      </c>
    </row>
    <row r="14" spans="1:14" x14ac:dyDescent="0.25">
      <c r="B14" t="s">
        <v>22</v>
      </c>
      <c r="C14">
        <v>670</v>
      </c>
      <c r="D14">
        <v>0.67</v>
      </c>
      <c r="G14" t="s">
        <v>69</v>
      </c>
      <c r="H14">
        <v>0.24</v>
      </c>
      <c r="I14">
        <v>0.15</v>
      </c>
      <c r="J14">
        <v>0.1</v>
      </c>
      <c r="K14">
        <v>0.09</v>
      </c>
    </row>
    <row r="15" spans="1:14" x14ac:dyDescent="0.25">
      <c r="B15" t="s">
        <v>23</v>
      </c>
      <c r="C15">
        <v>160</v>
      </c>
      <c r="D15">
        <v>0.16</v>
      </c>
      <c r="G15" t="s">
        <v>70</v>
      </c>
      <c r="H15">
        <v>0.25</v>
      </c>
      <c r="I15">
        <v>0.16</v>
      </c>
      <c r="J15">
        <v>0.11</v>
      </c>
      <c r="K15">
        <v>0.1</v>
      </c>
    </row>
    <row r="16" spans="1:14" x14ac:dyDescent="0.25">
      <c r="B16" t="s">
        <v>24</v>
      </c>
      <c r="C16">
        <v>420</v>
      </c>
      <c r="D16">
        <v>0.42</v>
      </c>
    </row>
    <row r="17" spans="2:4" x14ac:dyDescent="0.25">
      <c r="B17" t="s">
        <v>25</v>
      </c>
      <c r="C17">
        <v>740</v>
      </c>
      <c r="D17">
        <v>0.74</v>
      </c>
    </row>
    <row r="18" spans="2:4" x14ac:dyDescent="0.25">
      <c r="B18" t="s">
        <v>26</v>
      </c>
      <c r="C18">
        <v>640</v>
      </c>
      <c r="D18">
        <v>0.64</v>
      </c>
    </row>
    <row r="19" spans="2:4" x14ac:dyDescent="0.25">
      <c r="B19" t="s">
        <v>27</v>
      </c>
      <c r="C19">
        <v>710</v>
      </c>
      <c r="D19">
        <v>0.71</v>
      </c>
    </row>
    <row r="20" spans="2:4" x14ac:dyDescent="0.25">
      <c r="B20" t="s">
        <v>28</v>
      </c>
      <c r="C20">
        <v>580</v>
      </c>
      <c r="D20">
        <v>0.57999999999999996</v>
      </c>
    </row>
    <row r="21" spans="2:4" x14ac:dyDescent="0.25">
      <c r="B21" t="s">
        <v>29</v>
      </c>
      <c r="C21">
        <v>480</v>
      </c>
      <c r="D21">
        <v>0.48</v>
      </c>
    </row>
    <row r="22" spans="2:4" x14ac:dyDescent="0.25">
      <c r="B22" t="s">
        <v>30</v>
      </c>
      <c r="C22">
        <v>580</v>
      </c>
      <c r="D22">
        <v>0.57999999999999996</v>
      </c>
    </row>
    <row r="23" spans="2:4" x14ac:dyDescent="0.25">
      <c r="B23" t="s">
        <v>31</v>
      </c>
      <c r="C23">
        <v>740</v>
      </c>
      <c r="D23">
        <v>0.74</v>
      </c>
    </row>
    <row r="24" spans="2:4" x14ac:dyDescent="0.25">
      <c r="B24" t="s">
        <v>32</v>
      </c>
      <c r="C24">
        <v>740</v>
      </c>
      <c r="D24">
        <v>0.74</v>
      </c>
    </row>
    <row r="25" spans="2:4" x14ac:dyDescent="0.25">
      <c r="B25" t="s">
        <v>33</v>
      </c>
      <c r="C25">
        <v>630</v>
      </c>
      <c r="D25">
        <v>0.63</v>
      </c>
    </row>
    <row r="26" spans="2:4" x14ac:dyDescent="0.25">
      <c r="B26" t="s">
        <v>34</v>
      </c>
      <c r="C26">
        <v>790</v>
      </c>
      <c r="D26">
        <v>0.79</v>
      </c>
    </row>
    <row r="27" spans="2:4" x14ac:dyDescent="0.25">
      <c r="B27" t="s">
        <v>35</v>
      </c>
      <c r="C27">
        <v>770</v>
      </c>
      <c r="D27">
        <v>0.77</v>
      </c>
    </row>
    <row r="28" spans="2:4" x14ac:dyDescent="0.25">
      <c r="B28" t="s">
        <v>36</v>
      </c>
      <c r="C28">
        <v>660</v>
      </c>
      <c r="D28">
        <v>0.66</v>
      </c>
    </row>
    <row r="29" spans="2:4" x14ac:dyDescent="0.25">
      <c r="B29" t="s">
        <v>37</v>
      </c>
      <c r="C29">
        <v>500</v>
      </c>
      <c r="D29">
        <v>0.5</v>
      </c>
    </row>
    <row r="30" spans="2:4" x14ac:dyDescent="0.25">
      <c r="B30" t="s">
        <v>38</v>
      </c>
      <c r="C30">
        <v>660</v>
      </c>
      <c r="D30">
        <v>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987B-4FD2-4280-A144-5C8A8B3FF6B6}">
  <dimension ref="A1:C13"/>
  <sheetViews>
    <sheetView workbookViewId="0">
      <selection activeCell="B13" sqref="B13"/>
    </sheetView>
  </sheetViews>
  <sheetFormatPr defaultRowHeight="15" x14ac:dyDescent="0.25"/>
  <cols>
    <col min="1" max="1" width="23.28515625" bestFit="1" customWidth="1"/>
    <col min="2" max="2" width="28.42578125" bestFit="1" customWidth="1"/>
    <col min="3" max="3" width="6" bestFit="1" customWidth="1"/>
  </cols>
  <sheetData>
    <row r="1" spans="1:3" x14ac:dyDescent="0.25">
      <c r="A1" t="s">
        <v>80</v>
      </c>
      <c r="B1" t="s">
        <v>81</v>
      </c>
      <c r="C1" s="1">
        <v>1</v>
      </c>
    </row>
    <row r="2" spans="1:3" x14ac:dyDescent="0.25">
      <c r="A2" t="s">
        <v>78</v>
      </c>
      <c r="B2" s="1" t="s">
        <v>83</v>
      </c>
    </row>
    <row r="3" spans="1:3" x14ac:dyDescent="0.25">
      <c r="A3" t="s">
        <v>74</v>
      </c>
      <c r="B3" s="1" t="s">
        <v>20</v>
      </c>
      <c r="C3">
        <f>_xlfn.XLOOKUP(B3,Tables!B4:B30,Tables!C4:C30)</f>
        <v>420</v>
      </c>
    </row>
    <row r="4" spans="1:3" x14ac:dyDescent="0.25">
      <c r="A4" t="s">
        <v>75</v>
      </c>
      <c r="B4" t="s">
        <v>76</v>
      </c>
      <c r="C4" s="1">
        <v>380</v>
      </c>
    </row>
    <row r="5" spans="1:3" x14ac:dyDescent="0.25">
      <c r="A5" t="s">
        <v>65</v>
      </c>
      <c r="B5" s="1" t="s">
        <v>57</v>
      </c>
    </row>
    <row r="6" spans="1:3" x14ac:dyDescent="0.25">
      <c r="A6" t="s">
        <v>77</v>
      </c>
      <c r="B6" s="1" t="s">
        <v>72</v>
      </c>
      <c r="C6">
        <f>IF(B5="Wood",_xlfn.XLOOKUP(B6,Tables!G9:G15,Tables!H9:H15),IF(B5="Polycarbonate",_xlfn.XLOOKUP(B6,Tables!G9:G15,Tables!I9:I15),IF(B5="Aluminum",_xlfn.XLOOKUP(B6,Tables!G9:G15,Tables!J9:J15),IF(B5="Brass",_xlfn.XLOOKUP(B6,Tables!G9:G15,Tables!K9:K15)))))</f>
        <v>0.23</v>
      </c>
    </row>
    <row r="9" spans="1:3" x14ac:dyDescent="0.25">
      <c r="A9" t="s">
        <v>67</v>
      </c>
      <c r="B9" t="s">
        <v>79</v>
      </c>
      <c r="C9">
        <f>IF(B5="Wood", IF(B2="Average", C3/1000, C4/1000), IF(B5="Polycarbonate",Math!G3, IF(B5="Aluminum",Math!K3, IF(B5="Brass",Math!O3))))</f>
        <v>0.38</v>
      </c>
    </row>
    <row r="11" spans="1:3" x14ac:dyDescent="0.25">
      <c r="A11" t="s">
        <v>7</v>
      </c>
      <c r="B11" s="2">
        <f>Math!B18</f>
        <v>17.737978948100967</v>
      </c>
    </row>
    <row r="12" spans="1:3" x14ac:dyDescent="0.25">
      <c r="A12" t="s">
        <v>8</v>
      </c>
      <c r="B12" s="2">
        <f>Math!B23</f>
        <v>4.0797351580632224</v>
      </c>
    </row>
    <row r="13" spans="1:3" x14ac:dyDescent="0.25">
      <c r="A13" t="s">
        <v>6</v>
      </c>
      <c r="B13" s="2">
        <f>Math!B12</f>
        <v>25723.997608448248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93228A7-510E-44CB-894E-AE9D92090930}">
          <x14:formula1>
            <xm:f>Tables!$H$3:$K$3</xm:f>
          </x14:formula1>
          <xm:sqref>B5</xm:sqref>
        </x14:dataValidation>
        <x14:dataValidation type="list" allowBlank="1" showInputMessage="1" showErrorMessage="1" xr:uid="{A9A2F44E-AAFB-49C5-B1B8-F9D984B02948}">
          <x14:formula1>
            <xm:f>Tables!$B$4:$B$30</xm:f>
          </x14:formula1>
          <xm:sqref>B3</xm:sqref>
        </x14:dataValidation>
        <x14:dataValidation type="list" allowBlank="1" showInputMessage="1" showErrorMessage="1" xr:uid="{DB8A5705-837D-4915-BD74-9C928B4515F9}">
          <x14:formula1>
            <xm:f>Tables!$N$3:$N$4</xm:f>
          </x14:formula1>
          <xm:sqref>B2</xm:sqref>
        </x14:dataValidation>
        <x14:dataValidation type="list" allowBlank="1" showInputMessage="1" showErrorMessage="1" xr:uid="{26CEAA75-8CE2-4DC7-9E92-8A7355B8ADB1}">
          <x14:formula1>
            <xm:f>Tables!$G$9:$G$15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</vt:lpstr>
      <vt:lpstr>Tables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Kujawa</dc:creator>
  <cp:lastModifiedBy>Joshua Kujawa</cp:lastModifiedBy>
  <dcterms:created xsi:type="dcterms:W3CDTF">2026-05-05T13:24:50Z</dcterms:created>
  <dcterms:modified xsi:type="dcterms:W3CDTF">2026-05-28T13:02:17Z</dcterms:modified>
</cp:coreProperties>
</file>